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CC35F31C-0AB7-B74B-855E-A6B1C64F17F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alance Sheet" sheetId="1" r:id="rId1"/>
    <sheet name="Income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10" i="2" s="1"/>
  <c r="C15" i="2" s="1"/>
  <c r="C17" i="2" s="1"/>
  <c r="C19" i="2" s="1"/>
  <c r="B8" i="2"/>
  <c r="B10" i="2" s="1"/>
  <c r="B15" i="2" s="1"/>
  <c r="B17" i="2" s="1"/>
  <c r="B19" i="2" s="1"/>
  <c r="D19" i="1"/>
  <c r="D15" i="1"/>
  <c r="D10" i="1"/>
  <c r="C19" i="1"/>
  <c r="C15" i="1"/>
  <c r="C10" i="1"/>
  <c r="C21" i="1" l="1"/>
  <c r="D21" i="1"/>
</calcChain>
</file>

<file path=xl/sharedStrings.xml><?xml version="1.0" encoding="utf-8"?>
<sst xmlns="http://schemas.openxmlformats.org/spreadsheetml/2006/main" count="40" uniqueCount="36">
  <si>
    <t>DRUK FERRO ALLOYS LIMITED</t>
  </si>
  <si>
    <t xml:space="preserve">ASSETS </t>
  </si>
  <si>
    <t>Total Current and Non Current Assets</t>
  </si>
  <si>
    <t>Share Capital</t>
  </si>
  <si>
    <t>Revaluation Reserve</t>
  </si>
  <si>
    <t>Retained Earning</t>
  </si>
  <si>
    <t>Total Shareholder's Equity</t>
  </si>
  <si>
    <t>Total Equity and Liabilities</t>
  </si>
  <si>
    <t>Current Liabilities</t>
  </si>
  <si>
    <t>Amount in(Nu.)</t>
  </si>
  <si>
    <t>Amount in (Nu.)</t>
  </si>
  <si>
    <t>Othe Income</t>
  </si>
  <si>
    <t>Cost of Sale</t>
  </si>
  <si>
    <t>Gross Profit</t>
  </si>
  <si>
    <t>Employees Benefit expenses</t>
  </si>
  <si>
    <t>Administrative Cost</t>
  </si>
  <si>
    <t>Business Promotion</t>
  </si>
  <si>
    <t>Depreciation</t>
  </si>
  <si>
    <t>Profit from Operating activities</t>
  </si>
  <si>
    <t>Finance Costs</t>
  </si>
  <si>
    <t>Profit Before Tax</t>
  </si>
  <si>
    <t>Profit after Tax</t>
  </si>
  <si>
    <t>Total Revenue</t>
  </si>
  <si>
    <t>Amount in  (Nu.)</t>
  </si>
  <si>
    <t>Non  Current Assets</t>
  </si>
  <si>
    <t>Current Assets</t>
  </si>
  <si>
    <t>Non  Current Liabilities</t>
  </si>
  <si>
    <t>Total Current and Non current Liabilities</t>
  </si>
  <si>
    <t xml:space="preserve">Revenue </t>
  </si>
  <si>
    <t>Equity:</t>
  </si>
  <si>
    <t>Tax Expenses</t>
  </si>
  <si>
    <t>LIABILITIES :</t>
  </si>
  <si>
    <t>Particulars:</t>
  </si>
  <si>
    <t>PHUENTSHOLING:BHUTAN</t>
  </si>
  <si>
    <t>Unaudited Statement of Comprehensive Income as on 30.6.2024</t>
  </si>
  <si>
    <t>Unaudited Statement of Financial Position as on 30.6.2024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</si>
</sst>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Garamond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u/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/>
    <xf numFmtId="4" fontId="5" fillId="0" borderId="0" xfId="0" applyNumberFormat="1" applyFont="1"/>
    <xf numFmtId="43" fontId="5" fillId="0" borderId="0" xfId="0" applyNumberFormat="1" applyFont="1"/>
    <xf numFmtId="0" fontId="7" fillId="0" borderId="3" xfId="0" applyFont="1" applyBorder="1" applyAlignment="1">
      <alignment horizontal="center"/>
    </xf>
    <xf numFmtId="0" fontId="8" fillId="0" borderId="2" xfId="0" applyFont="1" applyBorder="1"/>
    <xf numFmtId="43" fontId="8" fillId="0" borderId="2" xfId="1" applyFont="1" applyBorder="1"/>
    <xf numFmtId="0" fontId="8" fillId="0" borderId="3" xfId="0" applyFont="1" applyBorder="1"/>
    <xf numFmtId="43" fontId="8" fillId="0" borderId="0" xfId="1" applyFont="1"/>
    <xf numFmtId="43" fontId="8" fillId="0" borderId="3" xfId="1" applyFont="1" applyBorder="1"/>
    <xf numFmtId="0" fontId="7" fillId="0" borderId="7" xfId="0" applyFont="1" applyBorder="1"/>
    <xf numFmtId="43" fontId="7" fillId="0" borderId="2" xfId="1" applyFont="1" applyBorder="1"/>
    <xf numFmtId="43" fontId="7" fillId="0" borderId="9" xfId="0" applyNumberFormat="1" applyFont="1" applyBorder="1"/>
    <xf numFmtId="43" fontId="8" fillId="0" borderId="0" xfId="1" applyFont="1" applyFill="1" applyBorder="1"/>
    <xf numFmtId="0" fontId="7" fillId="0" borderId="2" xfId="0" applyFont="1" applyBorder="1"/>
    <xf numFmtId="43" fontId="7" fillId="0" borderId="8" xfId="1" applyFont="1" applyFill="1" applyBorder="1"/>
    <xf numFmtId="43" fontId="8" fillId="0" borderId="5" xfId="0" applyNumberFormat="1" applyFont="1" applyBorder="1"/>
    <xf numFmtId="43" fontId="8" fillId="0" borderId="2" xfId="1" applyFont="1" applyFill="1" applyBorder="1"/>
    <xf numFmtId="43" fontId="8" fillId="0" borderId="2" xfId="0" applyNumberFormat="1" applyFont="1" applyBorder="1"/>
    <xf numFmtId="43" fontId="8" fillId="0" borderId="3" xfId="0" applyNumberFormat="1" applyFont="1" applyBorder="1"/>
    <xf numFmtId="43" fontId="7" fillId="0" borderId="2" xfId="0" applyNumberFormat="1" applyFont="1" applyBorder="1"/>
    <xf numFmtId="43" fontId="8" fillId="0" borderId="0" xfId="0" applyNumberFormat="1" applyFont="1"/>
    <xf numFmtId="43" fontId="7" fillId="0" borderId="8" xfId="0" applyNumberFormat="1" applyFont="1" applyBorder="1"/>
    <xf numFmtId="43" fontId="8" fillId="0" borderId="4" xfId="0" applyNumberFormat="1" applyFont="1" applyBorder="1"/>
    <xf numFmtId="0" fontId="7" fillId="0" borderId="4" xfId="0" applyFont="1" applyBorder="1" applyAlignment="1">
      <alignment horizontal="center" vertical="center"/>
    </xf>
    <xf numFmtId="4" fontId="8" fillId="0" borderId="5" xfId="0" applyNumberFormat="1" applyFont="1" applyBorder="1"/>
    <xf numFmtId="43" fontId="8" fillId="0" borderId="5" xfId="1" applyFont="1" applyBorder="1"/>
    <xf numFmtId="4" fontId="7" fillId="0" borderId="5" xfId="0" applyNumberFormat="1" applyFont="1" applyBorder="1"/>
    <xf numFmtId="0" fontId="9" fillId="0" borderId="5" xfId="0" applyFont="1" applyBorder="1"/>
    <xf numFmtId="0" fontId="8" fillId="0" borderId="6" xfId="0" applyFont="1" applyBorder="1"/>
    <xf numFmtId="0" fontId="8" fillId="0" borderId="4" xfId="0" applyFont="1" applyBorder="1"/>
    <xf numFmtId="43" fontId="8" fillId="0" borderId="6" xfId="1" applyFont="1" applyBorder="1"/>
    <xf numFmtId="43" fontId="8" fillId="0" borderId="4" xfId="1" applyFont="1" applyBorder="1"/>
    <xf numFmtId="0" fontId="8" fillId="0" borderId="5" xfId="0" applyFont="1" applyBorder="1"/>
    <xf numFmtId="0" fontId="7" fillId="0" borderId="4" xfId="0" applyFont="1" applyBorder="1"/>
    <xf numFmtId="43" fontId="7" fillId="0" borderId="4" xfId="0" applyNumberFormat="1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2"/>
  <sheetViews>
    <sheetView tabSelected="1" workbookViewId="0">
      <selection activeCell="B27" sqref="B27"/>
    </sheetView>
  </sheetViews>
  <sheetFormatPr baseColWidth="10" defaultColWidth="8.83203125" defaultRowHeight="15" x14ac:dyDescent="0.2"/>
  <cols>
    <col min="2" max="2" width="39.5" customWidth="1"/>
    <col min="3" max="3" width="19.5" customWidth="1"/>
    <col min="4" max="4" width="18.5" customWidth="1"/>
  </cols>
  <sheetData>
    <row r="2" spans="2:4" ht="16" x14ac:dyDescent="0.2">
      <c r="B2" s="41" t="s">
        <v>0</v>
      </c>
      <c r="C2" s="41"/>
      <c r="D2" s="41"/>
    </row>
    <row r="3" spans="2:4" ht="16" x14ac:dyDescent="0.2">
      <c r="B3" s="41" t="s">
        <v>33</v>
      </c>
      <c r="C3" s="41"/>
      <c r="D3" s="41"/>
    </row>
    <row r="4" spans="2:4" ht="17" thickBot="1" x14ac:dyDescent="0.25">
      <c r="B4" s="40" t="s">
        <v>35</v>
      </c>
      <c r="C4" s="40"/>
      <c r="D4" s="40"/>
    </row>
    <row r="5" spans="2:4" ht="17" thickBot="1" x14ac:dyDescent="0.25">
      <c r="B5" s="16" t="s">
        <v>32</v>
      </c>
      <c r="C5" s="39" t="s">
        <v>10</v>
      </c>
      <c r="D5" s="39" t="s">
        <v>23</v>
      </c>
    </row>
    <row r="6" spans="2:4" ht="17" thickBot="1" x14ac:dyDescent="0.25">
      <c r="B6" s="16" t="s">
        <v>1</v>
      </c>
      <c r="C6" s="26">
        <v>2024</v>
      </c>
      <c r="D6" s="26">
        <v>2023</v>
      </c>
    </row>
    <row r="7" spans="2:4" ht="17" thickBot="1" x14ac:dyDescent="0.25">
      <c r="B7" s="7" t="s">
        <v>24</v>
      </c>
      <c r="C7" s="27">
        <v>658028465.55999994</v>
      </c>
      <c r="D7" s="28">
        <v>347914907.17000002</v>
      </c>
    </row>
    <row r="8" spans="2:4" ht="17" thickBot="1" x14ac:dyDescent="0.25">
      <c r="B8" s="7" t="s">
        <v>25</v>
      </c>
      <c r="C8" s="27">
        <v>583449320.65999997</v>
      </c>
      <c r="D8" s="8">
        <v>336594631.67000002</v>
      </c>
    </row>
    <row r="9" spans="2:4" ht="17" thickBot="1" x14ac:dyDescent="0.25">
      <c r="B9" s="7"/>
      <c r="C9" s="29"/>
      <c r="D9" s="13"/>
    </row>
    <row r="10" spans="2:4" ht="17" thickBot="1" x14ac:dyDescent="0.25">
      <c r="B10" s="16" t="s">
        <v>2</v>
      </c>
      <c r="C10" s="13">
        <f>C7+C8</f>
        <v>1241477786.2199998</v>
      </c>
      <c r="D10" s="13">
        <f>D7+D8</f>
        <v>684509538.84000003</v>
      </c>
    </row>
    <row r="11" spans="2:4" ht="17" thickBot="1" x14ac:dyDescent="0.25">
      <c r="B11" s="30" t="s">
        <v>29</v>
      </c>
      <c r="C11" s="31"/>
      <c r="D11" s="32"/>
    </row>
    <row r="12" spans="2:4" ht="17" thickBot="1" x14ac:dyDescent="0.25">
      <c r="B12" s="7" t="s">
        <v>3</v>
      </c>
      <c r="C12" s="8">
        <v>272389530</v>
      </c>
      <c r="D12" s="8">
        <v>272389530</v>
      </c>
    </row>
    <row r="13" spans="2:4" ht="17" thickBot="1" x14ac:dyDescent="0.25">
      <c r="B13" s="7" t="s">
        <v>4</v>
      </c>
      <c r="C13" s="8">
        <v>217981415.69999999</v>
      </c>
      <c r="D13" s="8">
        <v>112047775.38</v>
      </c>
    </row>
    <row r="14" spans="2:4" ht="17" thickBot="1" x14ac:dyDescent="0.25">
      <c r="B14" s="9" t="s">
        <v>5</v>
      </c>
      <c r="C14" s="33">
        <v>53493183.780000001</v>
      </c>
      <c r="D14" s="34">
        <v>93496299.349999994</v>
      </c>
    </row>
    <row r="15" spans="2:4" ht="17" thickBot="1" x14ac:dyDescent="0.25">
      <c r="B15" s="16" t="s">
        <v>6</v>
      </c>
      <c r="C15" s="13">
        <f>C12+C13+C14</f>
        <v>543864129.48000002</v>
      </c>
      <c r="D15" s="13">
        <f>D12+D13+D14</f>
        <v>477933604.73000002</v>
      </c>
    </row>
    <row r="16" spans="2:4" ht="17" thickBot="1" x14ac:dyDescent="0.25">
      <c r="B16" s="16" t="s">
        <v>31</v>
      </c>
      <c r="C16" s="32"/>
      <c r="D16" s="7"/>
    </row>
    <row r="17" spans="1:4" ht="17" thickBot="1" x14ac:dyDescent="0.25">
      <c r="B17" s="32" t="s">
        <v>26</v>
      </c>
      <c r="C17" s="8">
        <v>594416303.22000003</v>
      </c>
      <c r="D17" s="34">
        <v>91823699.760000005</v>
      </c>
    </row>
    <row r="18" spans="1:4" ht="17" thickBot="1" x14ac:dyDescent="0.25">
      <c r="B18" s="35" t="s">
        <v>8</v>
      </c>
      <c r="C18" s="8">
        <v>103197353.52</v>
      </c>
      <c r="D18" s="8">
        <v>114752234.34999999</v>
      </c>
    </row>
    <row r="19" spans="1:4" ht="17" thickBot="1" x14ac:dyDescent="0.25">
      <c r="B19" s="16" t="s">
        <v>27</v>
      </c>
      <c r="C19" s="13">
        <f>C17+C18</f>
        <v>697613656.74000001</v>
      </c>
      <c r="D19" s="13">
        <f>D17+D18</f>
        <v>206575934.11000001</v>
      </c>
    </row>
    <row r="20" spans="1:4" ht="17" thickBot="1" x14ac:dyDescent="0.25">
      <c r="B20" s="36"/>
      <c r="C20" s="37"/>
      <c r="D20" s="37"/>
    </row>
    <row r="21" spans="1:4" ht="17" thickBot="1" x14ac:dyDescent="0.25">
      <c r="A21" s="1"/>
      <c r="B21" s="16" t="s">
        <v>7</v>
      </c>
      <c r="C21" s="22">
        <f>C15+C19</f>
        <v>1241477786.22</v>
      </c>
      <c r="D21" s="22">
        <f>D15+D19</f>
        <v>684509538.84000003</v>
      </c>
    </row>
    <row r="22" spans="1:4" x14ac:dyDescent="0.2">
      <c r="A22" s="1"/>
    </row>
    <row r="23" spans="1:4" x14ac:dyDescent="0.2">
      <c r="A23" s="1"/>
    </row>
    <row r="24" spans="1:4" x14ac:dyDescent="0.2">
      <c r="A24" s="1"/>
    </row>
    <row r="25" spans="1:4" x14ac:dyDescent="0.2">
      <c r="A25" s="1"/>
    </row>
    <row r="26" spans="1:4" x14ac:dyDescent="0.2">
      <c r="A26" s="1"/>
    </row>
    <row r="27" spans="1:4" x14ac:dyDescent="0.2">
      <c r="A27" s="1"/>
    </row>
    <row r="28" spans="1:4" x14ac:dyDescent="0.2">
      <c r="A28" s="1"/>
    </row>
    <row r="29" spans="1:4" x14ac:dyDescent="0.2">
      <c r="A29" s="1"/>
    </row>
    <row r="30" spans="1:4" x14ac:dyDescent="0.2">
      <c r="A30" s="1"/>
    </row>
    <row r="31" spans="1:4" x14ac:dyDescent="0.2">
      <c r="A31" s="1"/>
    </row>
    <row r="32" spans="1:4" x14ac:dyDescent="0.2">
      <c r="A32" s="1"/>
    </row>
    <row r="33" spans="1:4" x14ac:dyDescent="0.2">
      <c r="A33" s="1"/>
    </row>
    <row r="34" spans="1:4" x14ac:dyDescent="0.2">
      <c r="A34" s="1"/>
    </row>
    <row r="35" spans="1:4" x14ac:dyDescent="0.2">
      <c r="A35" s="1"/>
    </row>
    <row r="36" spans="1:4" x14ac:dyDescent="0.2">
      <c r="A36" s="1"/>
    </row>
    <row r="37" spans="1:4" x14ac:dyDescent="0.2">
      <c r="A37" s="1"/>
    </row>
    <row r="38" spans="1:4" x14ac:dyDescent="0.2">
      <c r="A38" s="1"/>
    </row>
    <row r="39" spans="1:4" x14ac:dyDescent="0.2">
      <c r="A39" s="1"/>
    </row>
    <row r="40" spans="1:4" x14ac:dyDescent="0.2">
      <c r="A40" s="1"/>
    </row>
    <row r="41" spans="1:4" x14ac:dyDescent="0.2">
      <c r="A41" s="1"/>
    </row>
    <row r="42" spans="1:4" x14ac:dyDescent="0.2">
      <c r="A42" s="2"/>
      <c r="B42" s="3"/>
      <c r="C42" s="4"/>
      <c r="D42" s="5"/>
    </row>
  </sheetData>
  <mergeCells count="3">
    <mergeCell ref="B4:D4"/>
    <mergeCell ref="B2:D2"/>
    <mergeCell ref="B3:D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9EDC-1BAB-7D45-B2D3-18CC42A89F3C}">
  <dimension ref="A1:C19"/>
  <sheetViews>
    <sheetView workbookViewId="0">
      <selection activeCell="C38" sqref="C38"/>
    </sheetView>
  </sheetViews>
  <sheetFormatPr baseColWidth="10" defaultRowHeight="15" x14ac:dyDescent="0.2"/>
  <cols>
    <col min="1" max="1" width="28.1640625" bestFit="1" customWidth="1"/>
    <col min="2" max="2" width="15.33203125" bestFit="1" customWidth="1"/>
    <col min="3" max="3" width="15.5" bestFit="1" customWidth="1"/>
  </cols>
  <sheetData>
    <row r="1" spans="1:3" ht="16" x14ac:dyDescent="0.2">
      <c r="A1" s="41" t="s">
        <v>0</v>
      </c>
      <c r="B1" s="41"/>
      <c r="C1" s="41"/>
    </row>
    <row r="2" spans="1:3" ht="16" x14ac:dyDescent="0.2">
      <c r="A2" s="41" t="s">
        <v>33</v>
      </c>
      <c r="B2" s="41"/>
      <c r="C2" s="41"/>
    </row>
    <row r="3" spans="1:3" ht="17" thickBot="1" x14ac:dyDescent="0.25">
      <c r="A3" s="40" t="s">
        <v>34</v>
      </c>
      <c r="B3" s="40"/>
      <c r="C3" s="40"/>
    </row>
    <row r="4" spans="1:3" ht="17" thickBot="1" x14ac:dyDescent="0.25">
      <c r="A4" s="42" t="s">
        <v>32</v>
      </c>
      <c r="B4" s="38" t="s">
        <v>9</v>
      </c>
      <c r="C4" s="38" t="s">
        <v>10</v>
      </c>
    </row>
    <row r="5" spans="1:3" ht="17" thickBot="1" x14ac:dyDescent="0.25">
      <c r="A5" s="43"/>
      <c r="B5" s="6">
        <v>2024</v>
      </c>
      <c r="C5" s="6">
        <v>2023</v>
      </c>
    </row>
    <row r="6" spans="1:3" ht="17" thickBot="1" x14ac:dyDescent="0.25">
      <c r="A6" s="7" t="s">
        <v>28</v>
      </c>
      <c r="B6" s="8">
        <v>605898197</v>
      </c>
      <c r="C6" s="8">
        <v>673839566</v>
      </c>
    </row>
    <row r="7" spans="1:3" ht="17" thickBot="1" x14ac:dyDescent="0.25">
      <c r="A7" s="9" t="s">
        <v>11</v>
      </c>
      <c r="B7" s="10">
        <v>1229425.42</v>
      </c>
      <c r="C7" s="11">
        <v>65000</v>
      </c>
    </row>
    <row r="8" spans="1:3" ht="17" thickBot="1" x14ac:dyDescent="0.25">
      <c r="A8" s="12" t="s">
        <v>22</v>
      </c>
      <c r="B8" s="13">
        <f>B6+B7</f>
        <v>607127622.41999996</v>
      </c>
      <c r="C8" s="14">
        <f>C6+C7</f>
        <v>673904566</v>
      </c>
    </row>
    <row r="9" spans="1:3" ht="17" thickBot="1" x14ac:dyDescent="0.25">
      <c r="A9" s="7" t="s">
        <v>12</v>
      </c>
      <c r="B9" s="15">
        <v>541223738.13</v>
      </c>
      <c r="C9" s="8">
        <v>524628737.62</v>
      </c>
    </row>
    <row r="10" spans="1:3" ht="17" thickBot="1" x14ac:dyDescent="0.25">
      <c r="A10" s="16" t="s">
        <v>13</v>
      </c>
      <c r="B10" s="17">
        <f>B8-B9</f>
        <v>65903884.289999962</v>
      </c>
      <c r="C10" s="22">
        <f>C8-C9</f>
        <v>149275828.38</v>
      </c>
    </row>
    <row r="11" spans="1:3" ht="17" thickBot="1" x14ac:dyDescent="0.25">
      <c r="A11" s="7" t="s">
        <v>14</v>
      </c>
      <c r="B11" s="15">
        <v>40588607</v>
      </c>
      <c r="C11" s="18">
        <v>38876034.409999996</v>
      </c>
    </row>
    <row r="12" spans="1:3" ht="17" thickBot="1" x14ac:dyDescent="0.25">
      <c r="A12" s="7" t="s">
        <v>15</v>
      </c>
      <c r="B12" s="19">
        <v>4493736.2</v>
      </c>
      <c r="C12" s="20">
        <v>4862975.0599999996</v>
      </c>
    </row>
    <row r="13" spans="1:3" ht="17" thickBot="1" x14ac:dyDescent="0.25">
      <c r="A13" s="7" t="s">
        <v>16</v>
      </c>
      <c r="B13" s="19">
        <v>14616</v>
      </c>
      <c r="C13" s="20">
        <v>12390</v>
      </c>
    </row>
    <row r="14" spans="1:3" ht="17" thickBot="1" x14ac:dyDescent="0.25">
      <c r="A14" s="9" t="s">
        <v>17</v>
      </c>
      <c r="B14" s="15">
        <v>2226300.96</v>
      </c>
      <c r="C14" s="21">
        <v>13906947.699999999</v>
      </c>
    </row>
    <row r="15" spans="1:3" ht="17" thickBot="1" x14ac:dyDescent="0.25">
      <c r="A15" s="12" t="s">
        <v>18</v>
      </c>
      <c r="B15" s="22">
        <f>B10-B11-B12-B13-B14</f>
        <v>18580624.129999962</v>
      </c>
      <c r="C15" s="14">
        <f>C10-C11-C12-C13-C14</f>
        <v>91617481.209999993</v>
      </c>
    </row>
    <row r="16" spans="1:3" ht="17" thickBot="1" x14ac:dyDescent="0.25">
      <c r="A16" s="7" t="s">
        <v>19</v>
      </c>
      <c r="B16" s="23">
        <v>4310526.55</v>
      </c>
      <c r="C16" s="18">
        <v>537245.86</v>
      </c>
    </row>
    <row r="17" spans="1:3" ht="17" thickBot="1" x14ac:dyDescent="0.25">
      <c r="A17" s="16" t="s">
        <v>20</v>
      </c>
      <c r="B17" s="24">
        <f>B15-B16</f>
        <v>14270097.579999961</v>
      </c>
      <c r="C17" s="22">
        <f>C15-C16</f>
        <v>91080235.349999994</v>
      </c>
    </row>
    <row r="18" spans="1:3" ht="17" thickBot="1" x14ac:dyDescent="0.25">
      <c r="A18" s="7" t="s">
        <v>30</v>
      </c>
      <c r="B18" s="23">
        <v>3567524.4</v>
      </c>
      <c r="C18" s="25">
        <v>22770058.84</v>
      </c>
    </row>
    <row r="19" spans="1:3" ht="17" thickBot="1" x14ac:dyDescent="0.25">
      <c r="A19" s="16" t="s">
        <v>21</v>
      </c>
      <c r="B19" s="24">
        <f>B17-B18</f>
        <v>10702573.179999961</v>
      </c>
      <c r="C19" s="22">
        <f>C17-C18</f>
        <v>68310176.50999999</v>
      </c>
    </row>
  </sheetData>
  <mergeCells count="4">
    <mergeCell ref="A1:C1"/>
    <mergeCell ref="A3:C3"/>
    <mergeCell ref="A4:A5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DFAL</dc:creator>
  <cp:lastModifiedBy>Microsoft Office User</cp:lastModifiedBy>
  <cp:lastPrinted>2024-05-21T08:07:51Z</cp:lastPrinted>
  <dcterms:created xsi:type="dcterms:W3CDTF">2024-05-20T04:59:55Z</dcterms:created>
  <dcterms:modified xsi:type="dcterms:W3CDTF">2026-05-07T10:06:04Z</dcterms:modified>
</cp:coreProperties>
</file>